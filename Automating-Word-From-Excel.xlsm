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\Downloads\"/>
    </mc:Choice>
  </mc:AlternateContent>
  <xr:revisionPtr revIDLastSave="0" documentId="13_ncr:1_{6AB3C5B0-E873-4B5A-9928-B506719FFF35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tudent Scores" sheetId="1" r:id="rId1"/>
    <sheet name="Sheet1" sheetId="2" r:id="rId2"/>
  </sheets>
  <definedNames>
    <definedName name="_xlnm._FilterDatabase" localSheetId="0" hidden="1">'Student Scores'!$A$5:$P$5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4" i="1" l="1"/>
  <c r="D209" i="1" a="1"/>
  <c r="D209" i="1" s="1"/>
  <c r="D212" i="1"/>
  <c r="E203" i="1"/>
  <c r="D200" i="1" a="1"/>
  <c r="D200" i="1" s="1"/>
  <c r="E185" i="1"/>
  <c r="E182" i="1"/>
  <c r="C166" i="1"/>
  <c r="C165" i="1"/>
  <c r="C145" i="1"/>
  <c r="C143" i="1"/>
  <c r="C144" i="1"/>
  <c r="G99" i="1"/>
  <c r="G100" i="1"/>
  <c r="G101" i="1"/>
  <c r="G102" i="1"/>
  <c r="F102" i="1"/>
  <c r="F99" i="1"/>
  <c r="F100" i="1"/>
  <c r="F101" i="1"/>
  <c r="C95" i="1"/>
  <c r="C92" i="1"/>
  <c r="C91" i="1"/>
  <c r="C94" i="1"/>
  <c r="C90" i="1"/>
  <c r="C89" i="1"/>
  <c r="C88" i="1"/>
  <c r="C85" i="1"/>
  <c r="C82" i="1"/>
  <c r="C78" i="1"/>
  <c r="C76" i="1"/>
  <c r="F76" i="1"/>
  <c r="E71" i="1"/>
  <c r="C71" i="1"/>
  <c r="C67" i="1"/>
  <c r="C66" i="1"/>
  <c r="C64" i="1"/>
  <c r="C63" i="1"/>
  <c r="G59" i="1"/>
  <c r="F59" i="1"/>
  <c r="D59" i="1"/>
  <c r="D60" i="1"/>
  <c r="G56" i="1"/>
  <c r="E56" i="1"/>
  <c r="C56" i="1"/>
  <c r="C52" i="1"/>
  <c r="D50" i="1"/>
  <c r="D48" i="1"/>
  <c r="J39" i="1"/>
  <c r="G39" i="1"/>
  <c r="D41" i="1"/>
  <c r="D40" i="1"/>
  <c r="D39" i="1"/>
  <c r="C33" i="1"/>
  <c r="C32" i="1"/>
  <c r="B27" i="1"/>
  <c r="O9" i="1"/>
  <c r="P9" i="1" s="1"/>
  <c r="O8" i="1"/>
  <c r="P8" i="1" s="1"/>
  <c r="O7" i="1"/>
  <c r="P7" i="1" s="1"/>
  <c r="O6" i="1"/>
  <c r="P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<sst xmlns="http://schemas.openxmlformats.org/spreadsheetml/2006/main" count="236" uniqueCount="107">
  <si>
    <t>Student Name</t>
  </si>
  <si>
    <t>Registration Number</t>
  </si>
  <si>
    <t>Statistics &amp; Probability</t>
  </si>
  <si>
    <t>Microsoft Excel</t>
  </si>
  <si>
    <t>VBA</t>
  </si>
  <si>
    <t>Power BI</t>
  </si>
  <si>
    <t>Grand Total</t>
  </si>
  <si>
    <t>Grade</t>
  </si>
  <si>
    <t>Result</t>
  </si>
  <si>
    <t>SQL</t>
  </si>
  <si>
    <t>Program Name</t>
  </si>
  <si>
    <t>Exam Date</t>
  </si>
  <si>
    <t>Marks</t>
  </si>
  <si>
    <t>Mr. Kumar</t>
  </si>
  <si>
    <t>Mr. Sharma</t>
  </si>
  <si>
    <t>Alex</t>
  </si>
  <si>
    <t>Md. Faiz</t>
  </si>
  <si>
    <t>BI Certification</t>
  </si>
  <si>
    <t>Pass</t>
  </si>
  <si>
    <t>Column1</t>
  </si>
  <si>
    <t>Column2</t>
  </si>
  <si>
    <t>day 0</t>
  </si>
  <si>
    <t xml:space="preserve">month </t>
  </si>
  <si>
    <t>mr.</t>
  </si>
  <si>
    <t xml:space="preserve">pawan </t>
  </si>
  <si>
    <t xml:space="preserve">kumar </t>
  </si>
  <si>
    <t xml:space="preserve">using concatenate </t>
  </si>
  <si>
    <t xml:space="preserve">using&amp; </t>
  </si>
  <si>
    <t xml:space="preserve">city </t>
  </si>
  <si>
    <t>bangalore</t>
  </si>
  <si>
    <t xml:space="preserve">kolkata </t>
  </si>
  <si>
    <t xml:space="preserve">delhi </t>
  </si>
  <si>
    <t xml:space="preserve">mumbai </t>
  </si>
  <si>
    <t>C</t>
  </si>
  <si>
    <t>B</t>
  </si>
  <si>
    <t>A</t>
  </si>
  <si>
    <t>using the right string method</t>
  </si>
  <si>
    <t xml:space="preserve">using the left string method </t>
  </si>
  <si>
    <t>using the "mid"metod</t>
  </si>
  <si>
    <t xml:space="preserve">TRIM  function </t>
  </si>
  <si>
    <t xml:space="preserve">I have a book </t>
  </si>
  <si>
    <t xml:space="preserve">do you know   my name </t>
  </si>
  <si>
    <t>where is the party ?</t>
  </si>
  <si>
    <t xml:space="preserve">upper </t>
  </si>
  <si>
    <t xml:space="preserve">lower </t>
  </si>
  <si>
    <t>proper</t>
  </si>
  <si>
    <t xml:space="preserve">hello hi there where are you </t>
  </si>
  <si>
    <t xml:space="preserve">find </t>
  </si>
  <si>
    <t>search</t>
  </si>
  <si>
    <t xml:space="preserve">hi I am good </t>
  </si>
  <si>
    <t>find is case sensitive                   =&gt;</t>
  </si>
  <si>
    <t xml:space="preserve">substitue and replace in excel </t>
  </si>
  <si>
    <t xml:space="preserve">Hello, I am Arun </t>
  </si>
  <si>
    <t xml:space="preserve">replace function </t>
  </si>
  <si>
    <t xml:space="preserve">casesensitve </t>
  </si>
  <si>
    <t>Hello,I am function</t>
  </si>
  <si>
    <t xml:space="preserve">hello,hello  I am shreya </t>
  </si>
  <si>
    <t>"bangalore"</t>
  </si>
  <si>
    <t xml:space="preserve">char </t>
  </si>
  <si>
    <t xml:space="preserve">len function is used below </t>
  </si>
  <si>
    <t xml:space="preserve">round function used </t>
  </si>
  <si>
    <t>floor function</t>
  </si>
  <si>
    <t>fail</t>
  </si>
  <si>
    <t>pass</t>
  </si>
  <si>
    <t xml:space="preserve">name </t>
  </si>
  <si>
    <t>maths</t>
  </si>
  <si>
    <t>bio</t>
  </si>
  <si>
    <t xml:space="preserve">result </t>
  </si>
  <si>
    <t>delhi</t>
  </si>
  <si>
    <t>D</t>
  </si>
  <si>
    <t>if (AND ) AND (OR) CONDITION</t>
  </si>
  <si>
    <t xml:space="preserve">CONDITIONAL FORMATTING </t>
  </si>
  <si>
    <t xml:space="preserve">V lookup in excel </t>
  </si>
  <si>
    <t xml:space="preserve">ID </t>
  </si>
  <si>
    <t xml:space="preserve">gender </t>
  </si>
  <si>
    <t xml:space="preserve">age </t>
  </si>
  <si>
    <t xml:space="preserve">Ajay </t>
  </si>
  <si>
    <t xml:space="preserve">sumit </t>
  </si>
  <si>
    <t xml:space="preserve">rahul </t>
  </si>
  <si>
    <t>priya</t>
  </si>
  <si>
    <t>rashmi</t>
  </si>
  <si>
    <t xml:space="preserve">raj </t>
  </si>
  <si>
    <t>sakshi</t>
  </si>
  <si>
    <t xml:space="preserve">male </t>
  </si>
  <si>
    <t>female</t>
  </si>
  <si>
    <t>chennai</t>
  </si>
  <si>
    <t>mumbai</t>
  </si>
  <si>
    <t>pune</t>
  </si>
  <si>
    <t>goa</t>
  </si>
  <si>
    <t xml:space="preserve">v-lookup </t>
  </si>
  <si>
    <t xml:space="preserve">exact match - false </t>
  </si>
  <si>
    <t xml:space="preserve">approximate match - true </t>
  </si>
  <si>
    <t xml:space="preserve">v lookup is case sensitive </t>
  </si>
  <si>
    <t xml:space="preserve">in case of multiple matches it will take first match </t>
  </si>
  <si>
    <t>if no value is matched it returns null</t>
  </si>
  <si>
    <t>h - lookup in excel</t>
  </si>
  <si>
    <t>h- lookup</t>
  </si>
  <si>
    <t xml:space="preserve">ajay </t>
  </si>
  <si>
    <t xml:space="preserve">match in excel </t>
  </si>
  <si>
    <t xml:space="preserve">match </t>
  </si>
  <si>
    <t>match ID position</t>
  </si>
  <si>
    <t>match age position</t>
  </si>
  <si>
    <t xml:space="preserve">index function </t>
  </si>
  <si>
    <t xml:space="preserve">index </t>
  </si>
  <si>
    <t xml:space="preserve">INDEX AND MATCHING </t>
  </si>
  <si>
    <t xml:space="preserve">OFFSET IN EXCEL </t>
  </si>
  <si>
    <t xml:space="preserve">select cities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</si>
</sst>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Cambria"/>
      <family val="1"/>
    </font>
    <font>
      <sz val="10"/>
      <color rgb="FF1F4E79"/>
      <name val="Cambria"/>
      <family val="1"/>
    </font>
    <font>
      <sz val="10"/>
      <color theme="0"/>
      <name val="Cambria"/>
      <family val="1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5" fontId="1" fillId="0" borderId="2" xfId="0" applyNumberFormat="1" applyFont="1" applyBorder="1" applyAlignment="1">
      <alignment horizontal="center" vertical="center"/>
    </xf>
    <xf numFmtId="0" fontId="1" fillId="0" borderId="2" xfId="0" applyFont="1" applyBorder="1"/>
    <xf numFmtId="0" fontId="3" fillId="2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4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70C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family val="1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1019175</xdr:colOff>
      <xdr:row>0</xdr:row>
      <xdr:rowOff>180975</xdr:rowOff>
    </xdr:from>
    <xdr:to>
      <xdr:col>2</xdr:col>
      <xdr:colOff>295275</xdr:colOff>
      <xdr:row>2</xdr:row>
      <xdr:rowOff>133350</xdr:rowOff>
    </xdr:to>
    <xdr:sp macro="[0]!SendToWo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9175" y="180975"/>
          <a:ext cx="1647825" cy="3333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Prepare Marksheet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4137A1-01DD-449D-B78B-D5FFFEEE9DBF}" name="Table4" displayName="Table4" ref="B37:B42" totalsRowShown="0">
  <autoFilter ref="B37:B42" xr:uid="{EE4137A1-01DD-449D-B78B-D5FFFEEE9DBF}"/>
  <tableColumns count="1">
    <tableColumn id="1" xr3:uid="{E9EE1613-C371-415D-85B8-AA7B0EAD77BC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710E27-876C-45E0-8C55-7BEC283517B6}" name="Table5" displayName="Table5" ref="B98:G104" totalsRowShown="0">
  <autoFilter ref="B98:G104" xr:uid="{5F710E27-876C-45E0-8C55-7BEC283517B6}"/>
  <tableColumns count="6">
    <tableColumn id="1" xr3:uid="{1D8D0013-B0F6-4851-9C17-7B01AD6BAD23}" name="name "/>
    <tableColumn id="2" xr3:uid="{77E5DA1F-4354-45C1-B70B-3FB6BAE0D6AE}" name="maths"/>
    <tableColumn id="3" xr3:uid="{9744F144-08F9-4524-8194-3F0153746842}" name="bio"/>
    <tableColumn id="4" xr3:uid="{8BA0EF69-2C7D-4EF2-A80A-395ABC6879A9}" name="result " dataDxfId="10"/>
    <tableColumn id="6" xr3:uid="{58E6D77C-F3FB-4CAD-A781-93F5F736FE96}" name="Column1" dataDxfId="9">
      <calculatedColumnFormula>IF(AND(Table5[[#This Row],[maths]]&gt;40,Table5[[#This Row],[bio]]&gt;40),"pass","fail")</calculatedColumnFormula>
    </tableColumn>
    <tableColumn id="7" xr3:uid="{45C36472-5DB0-481B-8669-CB8542A3FC0F}" name="Column2" dataDxfId="8">
      <calculatedColumnFormula>IF(OR(Table5[[#This Row],[maths]]&gt;40,Table5[[#This Row],[bio]]&gt;40),"pass","fail")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C6790F-97CF-4A4A-B7CF-BA201438ADA7}" name="Table6" displayName="Table6" ref="B131:F139" totalsRowShown="0">
  <autoFilter ref="B131:F139" xr:uid="{B0C6790F-97CF-4A4A-B7CF-BA201438ADA7}"/>
  <tableColumns count="5">
    <tableColumn id="1" xr3:uid="{F10C5D9A-A261-40D7-86F2-253C6C102A1D}" name="ID "/>
    <tableColumn id="2" xr3:uid="{D6BA7BC4-FB28-48AD-85FB-5B4707274BC1}" name="name "/>
    <tableColumn id="3" xr3:uid="{5A8CB7EE-2B62-45E1-BD25-0F5904C4C9DA}" name="gender "/>
    <tableColumn id="4" xr3:uid="{9D628820-8F56-4D0F-ABF9-8305145EC363}" name="age " dataDxfId="7"/>
    <tableColumn id="5" xr3:uid="{B5CBAF66-573C-414D-9AEE-E1C68EAEFE75}" name="city 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BBCC35-6395-44C8-BC4F-ADE13AB58E0B}" name="Table68" displayName="Table68" ref="C151:G159" totalsRowShown="0">
  <autoFilter ref="C151:G159" xr:uid="{B6BBCC35-6395-44C8-BC4F-ADE13AB58E0B}"/>
  <tableColumns count="5">
    <tableColumn id="1" xr3:uid="{BAB1ED51-B477-4C2E-B904-F1AF1886E557}" name="ID "/>
    <tableColumn id="2" xr3:uid="{FCDE81F7-1E7E-413E-AA1A-EAE8326D068D}" name="name "/>
    <tableColumn id="3" xr3:uid="{93EB5377-C9A7-4A07-BE09-4B3930F24C57}" name="gender "/>
    <tableColumn id="4" xr3:uid="{1283BBBE-4EF5-4F44-BDA7-49B6F1479F94}" name="age " dataDxfId="5"/>
    <tableColumn id="5" xr3:uid="{F71E06C0-74D0-41F7-A0CE-5739423354A6}" name="city " dataDxf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5A17CF-83C7-4487-A937-15396F782CC3}" name="Table6812" displayName="Table6812" ref="C171:G178" totalsRowShown="0">
  <autoFilter ref="C171:G178" xr:uid="{A15A17CF-83C7-4487-A937-15396F782CC3}"/>
  <tableColumns count="5">
    <tableColumn id="1" xr3:uid="{58578027-3CFA-4FD3-9CE0-6DDB84FD3B14}" name="ID "/>
    <tableColumn id="2" xr3:uid="{F9F149CF-603A-468A-9325-D442EF58D622}" name="name "/>
    <tableColumn id="3" xr3:uid="{764A59A5-9C9B-46F8-AE08-0B28A6F1150C}" name="gender "/>
    <tableColumn id="4" xr3:uid="{C09C41C5-528D-4829-A5AB-48ABE5E8AA8D}" name="age " dataDxfId="3"/>
    <tableColumn id="5" xr3:uid="{F307FF77-14E7-45EF-A1C9-B63D173DB067}" name="city 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A095467-A8CE-4D09-A0AA-C253989D5159}" name="Table681214" displayName="Table681214" ref="C189:G196" totalsRowShown="0">
  <autoFilter ref="C189:G196" xr:uid="{7A095467-A8CE-4D09-A0AA-C253989D5159}"/>
  <tableColumns count="5">
    <tableColumn id="1" xr3:uid="{140748BD-FE98-4A4B-8921-D2368C4F5759}" name="ID "/>
    <tableColumn id="2" xr3:uid="{8C03B0B3-C0B1-4E88-B66D-2A0F96EEE78D}" name="name "/>
    <tableColumn id="3" xr3:uid="{085839BE-F9A3-4A2D-83DA-BD14F2F0A691}" name="gender "/>
    <tableColumn id="4" xr3:uid="{52091FC6-DA03-4FA3-9151-1F98732348E0}" name="age " dataDxfId="1"/>
    <tableColumn id="5" xr3:uid="{75C94599-EB2F-4D1E-A0FA-464CE371E71E}" name="city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219"/>
  <sheetViews>
    <sheetView showGridLines="0" tabSelected="1" topLeftCell="A144" zoomScaleNormal="100" workbookViewId="0">
      <selection activeCell="D219" sqref="D219"/>
    </sheetView>
  </sheetViews>
  <sheetFormatPr defaultRowHeight="14.4" x14ac:dyDescent="0.3"/>
  <cols>
    <col min="1" max="1" width="15.6640625" customWidth="1"/>
    <col min="2" max="2" width="19.88671875" bestFit="1" customWidth="1"/>
    <col min="3" max="3" width="14.33203125" customWidth="1"/>
    <col min="4" max="4" width="10.88671875" bestFit="1" customWidth="1"/>
    <col min="5" max="6" width="12.5546875" style="1" customWidth="1"/>
    <col min="7" max="7" width="10.5546875" style="1" customWidth="1"/>
    <col min="8" max="8" width="9.33203125" style="1" customWidth="1"/>
    <col min="9" max="9" width="10.44140625" style="1" customWidth="1"/>
    <col min="10" max="10" width="6.5546875" style="1" bestFit="1" customWidth="1"/>
    <col min="11" max="11" width="9.33203125" style="1" customWidth="1"/>
    <col min="12" max="12" width="8.6640625" style="1" customWidth="1"/>
    <col min="13" max="14" width="8.88671875" style="1" customWidth="1"/>
    <col min="15" max="15" width="12.5546875" style="1" customWidth="1"/>
    <col min="16" max="16" width="11.6640625" style="1" customWidth="1"/>
  </cols>
  <sheetData>
    <row r="3" spans="1:16" ht="15" thickBot="1" x14ac:dyDescent="0.35"/>
    <row r="4" spans="1:16" x14ac:dyDescent="0.3">
      <c r="A4" s="2"/>
      <c r="B4" s="2"/>
      <c r="C4" s="2"/>
      <c r="D4" s="2"/>
      <c r="E4" s="28" t="s">
        <v>2</v>
      </c>
      <c r="F4" s="29"/>
      <c r="G4" s="30" t="s">
        <v>3</v>
      </c>
      <c r="H4" s="31"/>
      <c r="I4" s="28" t="s">
        <v>4</v>
      </c>
      <c r="J4" s="29"/>
      <c r="K4" s="30" t="s">
        <v>9</v>
      </c>
      <c r="L4" s="31"/>
      <c r="M4" s="28" t="s">
        <v>5</v>
      </c>
      <c r="N4" s="29"/>
      <c r="O4" s="3"/>
      <c r="P4" s="3"/>
    </row>
    <row r="5" spans="1:16" x14ac:dyDescent="0.3">
      <c r="A5" s="7" t="s">
        <v>0</v>
      </c>
      <c r="B5" s="8" t="s">
        <v>1</v>
      </c>
      <c r="C5" s="8" t="s">
        <v>10</v>
      </c>
      <c r="D5" s="9" t="s">
        <v>11</v>
      </c>
      <c r="E5" s="15" t="s">
        <v>12</v>
      </c>
      <c r="F5" s="16" t="s">
        <v>8</v>
      </c>
      <c r="G5" s="15" t="s">
        <v>12</v>
      </c>
      <c r="H5" s="16" t="s">
        <v>8</v>
      </c>
      <c r="I5" s="15" t="s">
        <v>12</v>
      </c>
      <c r="J5" s="16" t="s">
        <v>8</v>
      </c>
      <c r="K5" s="15" t="s">
        <v>12</v>
      </c>
      <c r="L5" s="16" t="s">
        <v>8</v>
      </c>
      <c r="M5" s="15" t="s">
        <v>12</v>
      </c>
      <c r="N5" s="16" t="s">
        <v>8</v>
      </c>
      <c r="O5" s="12" t="s">
        <v>6</v>
      </c>
      <c r="P5" s="8" t="s">
        <v>7</v>
      </c>
    </row>
    <row r="6" spans="1:16" x14ac:dyDescent="0.3">
      <c r="A6" s="4" t="s">
        <v>13</v>
      </c>
      <c r="B6" s="5">
        <v>123452</v>
      </c>
      <c r="C6" s="5" t="s">
        <v>17</v>
      </c>
      <c r="D6" s="10">
        <v>43854</v>
      </c>
      <c r="E6" s="17">
        <v>85</v>
      </c>
      <c r="F6" s="18" t="s">
        <v>18</v>
      </c>
      <c r="G6" s="17">
        <v>61</v>
      </c>
      <c r="H6" s="18" t="s">
        <v>18</v>
      </c>
      <c r="I6" s="17">
        <v>71</v>
      </c>
      <c r="J6" s="18" t="s">
        <v>18</v>
      </c>
      <c r="K6" s="23">
        <v>62</v>
      </c>
      <c r="L6" s="18" t="s">
        <v>18</v>
      </c>
      <c r="M6" s="17">
        <v>84</v>
      </c>
      <c r="N6" s="18" t="s">
        <v>18</v>
      </c>
      <c r="O6" s="13">
        <f>SUM(E6,G6,I6,K6,M6)</f>
        <v>363</v>
      </c>
      <c r="P6" s="5" t="str">
        <f>IF(O6/500&gt;=0.85, "A", IF(O6/500&gt;=0.75, "B", IF(O6/500&gt;=0.6, "C", "D")))</f>
        <v>C</v>
      </c>
    </row>
    <row r="7" spans="1:16" x14ac:dyDescent="0.3">
      <c r="A7" s="4" t="s">
        <v>14</v>
      </c>
      <c r="B7" s="5">
        <v>145623</v>
      </c>
      <c r="C7" s="5" t="s">
        <v>17</v>
      </c>
      <c r="D7" s="10">
        <v>43800</v>
      </c>
      <c r="E7" s="17">
        <v>90</v>
      </c>
      <c r="F7" s="18" t="s">
        <v>18</v>
      </c>
      <c r="G7" s="17">
        <v>80</v>
      </c>
      <c r="H7" s="18" t="s">
        <v>18</v>
      </c>
      <c r="I7" s="17">
        <v>71</v>
      </c>
      <c r="J7" s="18" t="s">
        <v>18</v>
      </c>
      <c r="K7" s="26">
        <v>89</v>
      </c>
      <c r="L7" s="18" t="s">
        <v>18</v>
      </c>
      <c r="M7" s="17">
        <v>65</v>
      </c>
      <c r="N7" s="18" t="s">
        <v>18</v>
      </c>
      <c r="O7" s="13">
        <f>SUM(E7,G7,I7,K7,M7)</f>
        <v>395</v>
      </c>
      <c r="P7" s="5" t="str">
        <f>IF(O7/500&gt;=0.85, "A", IF(O7/500&gt;=0.75, "B", IF(O7/500&gt;=0.6, "C", "D")))</f>
        <v>B</v>
      </c>
    </row>
    <row r="8" spans="1:16" x14ac:dyDescent="0.3">
      <c r="A8" s="4" t="s">
        <v>15</v>
      </c>
      <c r="B8" s="5">
        <v>159826</v>
      </c>
      <c r="C8" s="5" t="s">
        <v>17</v>
      </c>
      <c r="D8" s="10">
        <v>43918</v>
      </c>
      <c r="E8" s="17">
        <v>85</v>
      </c>
      <c r="F8" s="18" t="s">
        <v>18</v>
      </c>
      <c r="G8" s="17">
        <v>85</v>
      </c>
      <c r="H8" s="18" t="s">
        <v>18</v>
      </c>
      <c r="I8" s="17">
        <v>85</v>
      </c>
      <c r="J8" s="18" t="s">
        <v>18</v>
      </c>
      <c r="K8" s="25">
        <v>88</v>
      </c>
      <c r="L8" s="18" t="s">
        <v>18</v>
      </c>
      <c r="M8" s="17">
        <v>95</v>
      </c>
      <c r="N8" s="18" t="s">
        <v>18</v>
      </c>
      <c r="O8" s="13">
        <f>SUM(E8,G8,I8,K8,M8)</f>
        <v>438</v>
      </c>
      <c r="P8" s="5" t="str">
        <f>IF(O8/500&gt;=0.85, "A", IF(O8/500&gt;=0.75, "B", IF(O8/500&gt;=0.6, "C", "D")))</f>
        <v>A</v>
      </c>
    </row>
    <row r="9" spans="1:16" x14ac:dyDescent="0.3">
      <c r="A9" s="4" t="s">
        <v>16</v>
      </c>
      <c r="B9" s="5">
        <v>158496</v>
      </c>
      <c r="C9" s="5" t="s">
        <v>17</v>
      </c>
      <c r="D9" s="10">
        <v>43556</v>
      </c>
      <c r="E9" s="17">
        <v>86</v>
      </c>
      <c r="F9" s="18" t="s">
        <v>18</v>
      </c>
      <c r="G9" s="17">
        <v>74</v>
      </c>
      <c r="H9" s="18" t="s">
        <v>18</v>
      </c>
      <c r="I9" s="17">
        <v>64</v>
      </c>
      <c r="J9" s="18" t="s">
        <v>18</v>
      </c>
      <c r="K9" s="24">
        <v>81</v>
      </c>
      <c r="L9" s="18" t="s">
        <v>18</v>
      </c>
      <c r="M9" s="17">
        <v>64</v>
      </c>
      <c r="N9" s="18" t="s">
        <v>18</v>
      </c>
      <c r="O9" s="13">
        <f>SUM(E9,G9,I9,K9,M9)</f>
        <v>369</v>
      </c>
      <c r="P9" s="5" t="str">
        <f>IF(O9/500&gt;=0.85, "A", IF(O9/500&gt;=0.75, "B", IF(O9/500&gt;=0.6, "C", "D")))</f>
        <v>C</v>
      </c>
    </row>
    <row r="10" spans="1:16" x14ac:dyDescent="0.3">
      <c r="A10" s="4"/>
      <c r="B10" s="4"/>
      <c r="C10" s="4"/>
      <c r="D10" s="11"/>
      <c r="E10" s="19"/>
      <c r="F10" s="20"/>
      <c r="G10" s="19"/>
      <c r="H10" s="20"/>
      <c r="I10" s="19"/>
      <c r="J10" s="20"/>
      <c r="K10" s="19"/>
      <c r="L10" s="20"/>
      <c r="M10" s="19"/>
      <c r="N10" s="20"/>
      <c r="O10" s="14"/>
      <c r="P10" s="6"/>
    </row>
    <row r="11" spans="1:16" x14ac:dyDescent="0.3">
      <c r="A11" s="4"/>
      <c r="B11" s="4"/>
      <c r="C11" s="4"/>
      <c r="D11" s="11"/>
      <c r="E11" s="19"/>
      <c r="F11" s="20"/>
      <c r="G11" s="19"/>
      <c r="H11" s="20"/>
      <c r="I11" s="19"/>
      <c r="J11" s="20"/>
      <c r="K11" s="19"/>
      <c r="L11" s="20"/>
      <c r="M11" s="19"/>
      <c r="N11" s="20"/>
      <c r="O11" s="14"/>
      <c r="P11" s="6"/>
    </row>
    <row r="12" spans="1:16" x14ac:dyDescent="0.3">
      <c r="A12" s="4"/>
      <c r="B12" s="4"/>
      <c r="C12" s="4"/>
      <c r="D12" s="11"/>
      <c r="E12" s="19"/>
      <c r="F12" s="20"/>
      <c r="G12" s="19"/>
      <c r="H12" s="20"/>
      <c r="I12" s="19"/>
      <c r="J12" s="20"/>
      <c r="K12" s="19"/>
      <c r="L12" s="20"/>
      <c r="M12" s="19"/>
      <c r="N12" s="20"/>
      <c r="O12" s="14"/>
      <c r="P12" s="6"/>
    </row>
    <row r="13" spans="1:16" x14ac:dyDescent="0.3">
      <c r="A13" s="4"/>
      <c r="B13" s="4"/>
      <c r="C13" s="4"/>
      <c r="D13" s="11"/>
      <c r="E13" s="19"/>
      <c r="F13" s="20"/>
      <c r="G13" s="19"/>
      <c r="H13" s="20"/>
      <c r="I13" s="19"/>
      <c r="J13" s="20"/>
      <c r="K13" s="19"/>
      <c r="L13" s="20"/>
      <c r="M13" s="19"/>
      <c r="N13" s="20"/>
      <c r="O13" s="14"/>
      <c r="P13" s="6"/>
    </row>
    <row r="14" spans="1:16" x14ac:dyDescent="0.3">
      <c r="A14" s="4"/>
      <c r="B14" s="4"/>
      <c r="C14" s="4"/>
      <c r="D14" s="11"/>
      <c r="E14" s="19"/>
      <c r="F14" s="20"/>
      <c r="G14" s="19"/>
      <c r="H14" s="20"/>
      <c r="I14" s="19"/>
      <c r="J14" s="20"/>
      <c r="K14" s="19"/>
      <c r="L14" s="20"/>
      <c r="M14" s="19"/>
      <c r="N14" s="20"/>
      <c r="O14" s="14"/>
      <c r="P14" s="6"/>
    </row>
    <row r="15" spans="1:16" x14ac:dyDescent="0.3">
      <c r="A15" s="4"/>
      <c r="B15" s="4"/>
      <c r="C15" s="4"/>
      <c r="D15" s="11"/>
      <c r="E15" s="19"/>
      <c r="F15" s="20"/>
      <c r="G15" s="19"/>
      <c r="H15" s="20"/>
      <c r="I15" s="19"/>
      <c r="J15" s="20"/>
      <c r="K15" s="19"/>
      <c r="L15" s="20"/>
      <c r="M15" s="19"/>
      <c r="N15" s="20"/>
      <c r="O15" s="14"/>
      <c r="P15" s="6"/>
    </row>
    <row r="16" spans="1:16" ht="15" thickBot="1" x14ac:dyDescent="0.35">
      <c r="A16" s="4"/>
      <c r="B16" s="4"/>
      <c r="C16" s="4"/>
      <c r="D16" s="11"/>
      <c r="E16" s="21"/>
      <c r="F16" s="22"/>
      <c r="G16" s="21"/>
      <c r="H16" s="22"/>
      <c r="I16" s="21"/>
      <c r="J16" s="22"/>
      <c r="K16" s="21"/>
      <c r="L16" s="22"/>
      <c r="M16" s="21"/>
      <c r="N16" s="22"/>
      <c r="O16" s="14"/>
      <c r="P16" s="6"/>
    </row>
    <row r="19" spans="1:9" x14ac:dyDescent="0.3">
      <c r="E19"/>
      <c r="F19"/>
      <c r="G19"/>
      <c r="H19"/>
      <c r="I19"/>
    </row>
    <row r="20" spans="1:9" x14ac:dyDescent="0.3">
      <c r="E20"/>
      <c r="F20"/>
      <c r="G20"/>
      <c r="H20"/>
      <c r="I20"/>
    </row>
    <row r="21" spans="1:9" x14ac:dyDescent="0.3">
      <c r="A21" t="s">
        <v>21</v>
      </c>
      <c r="B21" t="s">
        <v>22</v>
      </c>
    </row>
    <row r="26" spans="1:9" x14ac:dyDescent="0.3">
      <c r="B26">
        <v>1000</v>
      </c>
    </row>
    <row r="27" spans="1:9" x14ac:dyDescent="0.3">
      <c r="B27" t="str">
        <f>"your age is "&amp;B26</f>
        <v>your age is 1000</v>
      </c>
    </row>
    <row r="30" spans="1:9" x14ac:dyDescent="0.3">
      <c r="B30" t="s">
        <v>23</v>
      </c>
      <c r="C30" t="s">
        <v>24</v>
      </c>
      <c r="D30" t="s">
        <v>25</v>
      </c>
    </row>
    <row r="32" spans="1:9" x14ac:dyDescent="0.3">
      <c r="B32" t="s">
        <v>26</v>
      </c>
      <c r="C32" t="str">
        <f>CONCATENATE(B30," ",C30," ",D30)</f>
        <v xml:space="preserve">mr. pawan  kumar </v>
      </c>
    </row>
    <row r="33" spans="2:10" x14ac:dyDescent="0.3">
      <c r="B33" t="s">
        <v>27</v>
      </c>
      <c r="C33" t="str">
        <f>B30&amp;" "&amp;C30&amp;" "&amp;D30</f>
        <v xml:space="preserve">mr. pawan  kumar </v>
      </c>
    </row>
    <row r="37" spans="2:10" x14ac:dyDescent="0.3">
      <c r="B37" t="s">
        <v>19</v>
      </c>
    </row>
    <row r="38" spans="2:10" x14ac:dyDescent="0.3">
      <c r="B38" t="s">
        <v>28</v>
      </c>
      <c r="D38" t="s">
        <v>36</v>
      </c>
      <c r="G38" s="1" t="s">
        <v>37</v>
      </c>
      <c r="J38" s="1" t="s">
        <v>38</v>
      </c>
    </row>
    <row r="39" spans="2:10" x14ac:dyDescent="0.3">
      <c r="B39" t="s">
        <v>29</v>
      </c>
      <c r="D39" t="str">
        <f>LEFT("bangalore",3)</f>
        <v>ban</v>
      </c>
      <c r="G39" s="1" t="str">
        <f>RIGHT("bangalore",4)</f>
        <v>lore</v>
      </c>
      <c r="J39" s="1" t="str">
        <f>MID("MUMBAI",2,4)</f>
        <v>UMBA</v>
      </c>
    </row>
    <row r="40" spans="2:10" x14ac:dyDescent="0.3">
      <c r="B40" t="s">
        <v>30</v>
      </c>
      <c r="D40" t="str">
        <f>LEFT("kolkata",3)</f>
        <v>kol</v>
      </c>
    </row>
    <row r="41" spans="2:10" x14ac:dyDescent="0.3">
      <c r="B41" t="s">
        <v>31</v>
      </c>
      <c r="D41" t="str">
        <f>LEFT("delhi",5)</f>
        <v>delhi</v>
      </c>
    </row>
    <row r="42" spans="2:10" x14ac:dyDescent="0.3">
      <c r="B42" t="s">
        <v>32</v>
      </c>
    </row>
    <row r="46" spans="2:10" x14ac:dyDescent="0.3">
      <c r="B46" t="s">
        <v>39</v>
      </c>
    </row>
    <row r="48" spans="2:10" x14ac:dyDescent="0.3">
      <c r="B48" t="s">
        <v>40</v>
      </c>
      <c r="D48" t="str">
        <f>TRIM(B48)</f>
        <v>I have a book</v>
      </c>
    </row>
    <row r="50" spans="2:7" x14ac:dyDescent="0.3">
      <c r="B50" t="s">
        <v>41</v>
      </c>
      <c r="D50" t="str">
        <f>TRIM(B50)</f>
        <v>do you know my name</v>
      </c>
    </row>
    <row r="52" spans="2:7" x14ac:dyDescent="0.3">
      <c r="C52" t="str">
        <f>TRIM("  hi!   How are you    ?")</f>
        <v>hi! How are you ?</v>
      </c>
    </row>
    <row r="55" spans="2:7" x14ac:dyDescent="0.3">
      <c r="C55" t="s">
        <v>43</v>
      </c>
      <c r="E55" s="1" t="s">
        <v>44</v>
      </c>
      <c r="G55" s="1" t="s">
        <v>45</v>
      </c>
    </row>
    <row r="56" spans="2:7" x14ac:dyDescent="0.3">
      <c r="B56" t="s">
        <v>42</v>
      </c>
      <c r="C56" t="str">
        <f>UPPER(B56)</f>
        <v>WHERE IS THE PARTY ?</v>
      </c>
      <c r="E56" s="1" t="str">
        <f>LOWER(B56)</f>
        <v>where is the party ?</v>
      </c>
      <c r="G56" s="1" t="str">
        <f>PROPER(B56)</f>
        <v>Where Is The Party ?</v>
      </c>
    </row>
    <row r="58" spans="2:7" x14ac:dyDescent="0.3">
      <c r="D58" t="s">
        <v>47</v>
      </c>
      <c r="F58" s="1" t="s">
        <v>48</v>
      </c>
    </row>
    <row r="59" spans="2:7" x14ac:dyDescent="0.3">
      <c r="B59" t="s">
        <v>46</v>
      </c>
      <c r="D59">
        <f>SEARCH("hi",B59)</f>
        <v>7</v>
      </c>
      <c r="F59" s="1">
        <f>SEARCH("ARE",B59)</f>
        <v>22</v>
      </c>
      <c r="G59" s="1" t="e">
        <f>SEARCH("WAH",C59)</f>
        <v>#VALUE!</v>
      </c>
    </row>
    <row r="60" spans="2:7" x14ac:dyDescent="0.3">
      <c r="D60">
        <f>SEARCH("hello",B59)</f>
        <v>1</v>
      </c>
    </row>
    <row r="63" spans="2:7" x14ac:dyDescent="0.3">
      <c r="B63" t="s">
        <v>49</v>
      </c>
      <c r="C63">
        <f>SEARCH("go?d",B63)</f>
        <v>9</v>
      </c>
    </row>
    <row r="64" spans="2:7" x14ac:dyDescent="0.3">
      <c r="C64">
        <f>SEARCH("g*",B63)</f>
        <v>9</v>
      </c>
    </row>
    <row r="66" spans="1:6" x14ac:dyDescent="0.3">
      <c r="C66">
        <f>FIND("hi",B63)</f>
        <v>1</v>
      </c>
    </row>
    <row r="67" spans="1:6" x14ac:dyDescent="0.3">
      <c r="A67" t="s">
        <v>50</v>
      </c>
      <c r="C67" t="e">
        <f>FIND("HI",B63)</f>
        <v>#VALUE!</v>
      </c>
    </row>
    <row r="69" spans="1:6" x14ac:dyDescent="0.3">
      <c r="C69" t="s">
        <v>51</v>
      </c>
    </row>
    <row r="70" spans="1:6" x14ac:dyDescent="0.3">
      <c r="E70" s="1" t="s">
        <v>54</v>
      </c>
    </row>
    <row r="71" spans="1:6" x14ac:dyDescent="0.3">
      <c r="B71" t="s">
        <v>52</v>
      </c>
      <c r="C71" t="str">
        <f>SUBSTITUTE(B71,"Hello","hi")</f>
        <v xml:space="preserve">hi, I am Arun </v>
      </c>
      <c r="E71" s="1" t="str">
        <f>SUBSTITUTE(B71,"hello","hi")</f>
        <v xml:space="preserve">Hello, I am Arun </v>
      </c>
    </row>
    <row r="73" spans="1:6" x14ac:dyDescent="0.3">
      <c r="B73" t="s">
        <v>53</v>
      </c>
    </row>
    <row r="76" spans="1:6" x14ac:dyDescent="0.3">
      <c r="B76" t="s">
        <v>55</v>
      </c>
      <c r="C76" t="str">
        <f>REPLACE(B76,12,18,"aditya")</f>
        <v>Hello,I am aditya</v>
      </c>
      <c r="F76" s="1" t="str">
        <f>REPLACE(B76,12,16,"aditya")</f>
        <v>Hello,I am aditya</v>
      </c>
    </row>
    <row r="78" spans="1:6" x14ac:dyDescent="0.3">
      <c r="B78" t="s">
        <v>56</v>
      </c>
      <c r="C78" t="str">
        <f>SUBSTITUTE(B78,"hello","handsome",2)</f>
        <v xml:space="preserve">hello,handsome  I am shreya </v>
      </c>
    </row>
    <row r="81" spans="2:3" x14ac:dyDescent="0.3">
      <c r="B81" t="s">
        <v>59</v>
      </c>
    </row>
    <row r="82" spans="2:3" x14ac:dyDescent="0.3">
      <c r="B82" t="s">
        <v>57</v>
      </c>
      <c r="C82">
        <f>LEN(B82)</f>
        <v>11</v>
      </c>
    </row>
    <row r="84" spans="2:3" x14ac:dyDescent="0.3">
      <c r="B84" t="s">
        <v>58</v>
      </c>
    </row>
    <row r="85" spans="2:3" x14ac:dyDescent="0.3">
      <c r="B85" t="s">
        <v>35</v>
      </c>
      <c r="C85" t="str">
        <f>CHAR(64)</f>
        <v>@</v>
      </c>
    </row>
    <row r="87" spans="2:3" x14ac:dyDescent="0.3">
      <c r="B87" t="s">
        <v>60</v>
      </c>
    </row>
    <row r="88" spans="2:3" x14ac:dyDescent="0.3">
      <c r="B88">
        <v>12.324310000000001</v>
      </c>
      <c r="C88">
        <f>ROUND(B88,2)</f>
        <v>12.32</v>
      </c>
    </row>
    <row r="89" spans="2:3" x14ac:dyDescent="0.3">
      <c r="B89">
        <v>1298.23234344567</v>
      </c>
      <c r="C89">
        <f>ROUND(B89,-1)</f>
        <v>1300</v>
      </c>
    </row>
    <row r="90" spans="2:3" x14ac:dyDescent="0.3">
      <c r="B90">
        <v>21449.432000000001</v>
      </c>
      <c r="C90">
        <f>ROUND(B90,1000)</f>
        <v>21449.432000000001</v>
      </c>
    </row>
    <row r="91" spans="2:3" x14ac:dyDescent="0.3">
      <c r="B91">
        <v>9.8889999999999993</v>
      </c>
      <c r="C91">
        <f>ROUND(B91,0)</f>
        <v>10</v>
      </c>
    </row>
    <row r="92" spans="2:3" x14ac:dyDescent="0.3">
      <c r="B92">
        <v>51.342199999999998</v>
      </c>
      <c r="C92">
        <f>ROUND(B92,1)</f>
        <v>51.3</v>
      </c>
    </row>
    <row r="93" spans="2:3" x14ac:dyDescent="0.3">
      <c r="B93" t="s">
        <v>61</v>
      </c>
    </row>
    <row r="94" spans="2:3" x14ac:dyDescent="0.3">
      <c r="B94">
        <v>232</v>
      </c>
      <c r="C94">
        <f>FLOOR(B94,3)</f>
        <v>231</v>
      </c>
    </row>
    <row r="95" spans="2:3" x14ac:dyDescent="0.3">
      <c r="B95">
        <v>9.43</v>
      </c>
      <c r="C95">
        <f>FLOOR(B95,2)</f>
        <v>8</v>
      </c>
    </row>
    <row r="97" spans="2:16" x14ac:dyDescent="0.3">
      <c r="B97" t="s">
        <v>70</v>
      </c>
    </row>
    <row r="98" spans="2:16" x14ac:dyDescent="0.3">
      <c r="B98" t="s">
        <v>64</v>
      </c>
      <c r="C98" t="s">
        <v>65</v>
      </c>
      <c r="D98" t="s">
        <v>66</v>
      </c>
      <c r="E98" s="1" t="s">
        <v>67</v>
      </c>
      <c r="F98" s="1" t="s">
        <v>19</v>
      </c>
      <c r="G98" s="1" t="s">
        <v>20</v>
      </c>
      <c r="P98"/>
    </row>
    <row r="99" spans="2:16" x14ac:dyDescent="0.3">
      <c r="B99" t="s">
        <v>35</v>
      </c>
      <c r="C99">
        <v>21</v>
      </c>
      <c r="D99">
        <v>34</v>
      </c>
      <c r="E99" s="1" t="s">
        <v>62</v>
      </c>
      <c r="F99" s="1" t="str">
        <f>IF(AND(Table5[[#This Row],[maths]]&gt;40,Table5[[#This Row],[bio]]&gt;40),"pass","fail")</f>
        <v>fail</v>
      </c>
      <c r="G99" s="1" t="str">
        <f>IF(OR(Table5[[#This Row],[maths]]&gt;40,Table5[[#This Row],[bio]]&gt;40),"pass","fail")</f>
        <v>fail</v>
      </c>
      <c r="P99"/>
    </row>
    <row r="100" spans="2:16" x14ac:dyDescent="0.3">
      <c r="B100" t="s">
        <v>34</v>
      </c>
      <c r="C100">
        <v>43</v>
      </c>
      <c r="D100">
        <v>56</v>
      </c>
      <c r="E100" s="1" t="s">
        <v>63</v>
      </c>
      <c r="F100" s="1" t="str">
        <f>IF(AND(Table5[[#This Row],[maths]]&gt;40,Table5[[#This Row],[bio]]&gt;40),"pass","fail")</f>
        <v>pass</v>
      </c>
      <c r="G100" s="1" t="str">
        <f>IF(OR(Table5[[#This Row],[maths]]&gt;40,Table5[[#This Row],[bio]]&gt;40),"pass","fail")</f>
        <v>pass</v>
      </c>
      <c r="P100"/>
    </row>
    <row r="101" spans="2:16" x14ac:dyDescent="0.3">
      <c r="B101" t="s">
        <v>33</v>
      </c>
      <c r="C101">
        <v>54</v>
      </c>
      <c r="D101">
        <v>88</v>
      </c>
      <c r="E101" s="1" t="s">
        <v>63</v>
      </c>
      <c r="F101" s="1" t="str">
        <f>IF(AND(Table5[[#This Row],[maths]]&gt;40,Table5[[#This Row],[bio]]&gt;40),"pass","fail")</f>
        <v>pass</v>
      </c>
      <c r="G101" s="1" t="str">
        <f>IF(OR(Table5[[#This Row],[maths]]&gt;40,Table5[[#This Row],[bio]]&gt;40),"pass","fail")</f>
        <v>pass</v>
      </c>
      <c r="P101"/>
    </row>
    <row r="102" spans="2:16" x14ac:dyDescent="0.3">
      <c r="B102" t="s">
        <v>69</v>
      </c>
      <c r="C102">
        <v>44</v>
      </c>
      <c r="D102">
        <v>32</v>
      </c>
      <c r="E102" s="1" t="s">
        <v>62</v>
      </c>
      <c r="F102" s="27" t="str">
        <f>IF(AND(Table5[[#This Row],[maths]]&gt;40,Table5[[#This Row],[bio]]&gt;40),"pass","fail")</f>
        <v>fail</v>
      </c>
      <c r="G102" s="1" t="str">
        <f>IF(OR(Table5[[#This Row],[maths]]&gt;40,Table5[[#This Row],[bio]]&gt;40),"pass","fail")</f>
        <v>pass</v>
      </c>
    </row>
    <row r="103" spans="2:16" x14ac:dyDescent="0.3">
      <c r="F103" s="27"/>
    </row>
    <row r="104" spans="2:16" x14ac:dyDescent="0.3">
      <c r="F104" s="27"/>
    </row>
    <row r="109" spans="2:16" x14ac:dyDescent="0.3">
      <c r="B109" t="s">
        <v>71</v>
      </c>
    </row>
    <row r="111" spans="2:16" x14ac:dyDescent="0.3">
      <c r="B111">
        <v>23</v>
      </c>
    </row>
    <row r="112" spans="2:16" x14ac:dyDescent="0.3">
      <c r="B112">
        <v>43</v>
      </c>
    </row>
    <row r="113" spans="2:4" x14ac:dyDescent="0.3">
      <c r="B113">
        <v>5</v>
      </c>
    </row>
    <row r="114" spans="2:4" x14ac:dyDescent="0.3">
      <c r="B114">
        <v>4</v>
      </c>
    </row>
    <row r="115" spans="2:4" x14ac:dyDescent="0.3">
      <c r="B115">
        <v>65</v>
      </c>
    </row>
    <row r="116" spans="2:4" x14ac:dyDescent="0.3">
      <c r="B116">
        <v>76</v>
      </c>
    </row>
    <row r="117" spans="2:4" x14ac:dyDescent="0.3">
      <c r="B117">
        <v>8</v>
      </c>
    </row>
    <row r="118" spans="2:4" x14ac:dyDescent="0.3">
      <c r="B118">
        <v>77</v>
      </c>
    </row>
    <row r="119" spans="2:4" x14ac:dyDescent="0.3">
      <c r="B119">
        <v>87</v>
      </c>
    </row>
    <row r="120" spans="2:4" x14ac:dyDescent="0.3">
      <c r="B120">
        <v>23</v>
      </c>
    </row>
    <row r="121" spans="2:4" x14ac:dyDescent="0.3">
      <c r="B121">
        <v>12</v>
      </c>
    </row>
    <row r="122" spans="2:4" x14ac:dyDescent="0.3">
      <c r="B122">
        <v>98</v>
      </c>
    </row>
    <row r="123" spans="2:4" x14ac:dyDescent="0.3">
      <c r="B123">
        <v>67</v>
      </c>
    </row>
    <row r="124" spans="2:4" x14ac:dyDescent="0.3">
      <c r="B124">
        <v>65</v>
      </c>
    </row>
    <row r="128" spans="2:4" x14ac:dyDescent="0.3">
      <c r="B128" t="s">
        <v>72</v>
      </c>
      <c r="D128" t="s">
        <v>93</v>
      </c>
    </row>
    <row r="129" spans="2:6" x14ac:dyDescent="0.3">
      <c r="B129" t="s">
        <v>92</v>
      </c>
      <c r="D129" t="s">
        <v>94</v>
      </c>
    </row>
    <row r="131" spans="2:6" x14ac:dyDescent="0.3">
      <c r="B131" t="s">
        <v>73</v>
      </c>
      <c r="C131" t="s">
        <v>64</v>
      </c>
      <c r="D131" t="s">
        <v>74</v>
      </c>
      <c r="E131" s="1" t="s">
        <v>75</v>
      </c>
      <c r="F131" s="1" t="s">
        <v>28</v>
      </c>
    </row>
    <row r="132" spans="2:6" x14ac:dyDescent="0.3">
      <c r="B132">
        <v>100</v>
      </c>
      <c r="C132" t="s">
        <v>76</v>
      </c>
      <c r="D132" t="s">
        <v>83</v>
      </c>
      <c r="E132" s="1">
        <v>23</v>
      </c>
      <c r="F132" s="1" t="s">
        <v>29</v>
      </c>
    </row>
    <row r="133" spans="2:6" x14ac:dyDescent="0.3">
      <c r="B133">
        <v>101</v>
      </c>
      <c r="C133" t="s">
        <v>77</v>
      </c>
      <c r="D133" t="s">
        <v>83</v>
      </c>
      <c r="E133" s="1">
        <v>32</v>
      </c>
      <c r="F133" s="1" t="s">
        <v>85</v>
      </c>
    </row>
    <row r="134" spans="2:6" x14ac:dyDescent="0.3">
      <c r="B134">
        <v>102</v>
      </c>
      <c r="C134" t="s">
        <v>78</v>
      </c>
      <c r="D134" t="s">
        <v>83</v>
      </c>
      <c r="E134" s="1">
        <v>34</v>
      </c>
      <c r="F134" s="1" t="s">
        <v>29</v>
      </c>
    </row>
    <row r="135" spans="2:6" x14ac:dyDescent="0.3">
      <c r="B135">
        <v>103</v>
      </c>
      <c r="C135" t="s">
        <v>79</v>
      </c>
      <c r="D135" t="s">
        <v>84</v>
      </c>
      <c r="E135" s="1">
        <v>54</v>
      </c>
      <c r="F135" s="1" t="s">
        <v>86</v>
      </c>
    </row>
    <row r="136" spans="2:6" x14ac:dyDescent="0.3">
      <c r="B136">
        <v>104</v>
      </c>
      <c r="C136" t="s">
        <v>80</v>
      </c>
      <c r="D136" t="s">
        <v>84</v>
      </c>
      <c r="E136" s="1">
        <v>23</v>
      </c>
      <c r="F136" s="1" t="s">
        <v>87</v>
      </c>
    </row>
    <row r="137" spans="2:6" x14ac:dyDescent="0.3">
      <c r="B137">
        <v>105</v>
      </c>
      <c r="C137" t="s">
        <v>81</v>
      </c>
      <c r="D137" t="s">
        <v>83</v>
      </c>
      <c r="E137" s="1">
        <v>43</v>
      </c>
      <c r="F137" s="1" t="s">
        <v>68</v>
      </c>
    </row>
    <row r="138" spans="2:6" x14ac:dyDescent="0.3">
      <c r="B138">
        <v>103</v>
      </c>
      <c r="C138" t="s">
        <v>82</v>
      </c>
      <c r="D138" t="s">
        <v>84</v>
      </c>
      <c r="E138" s="1">
        <v>12</v>
      </c>
      <c r="F138" s="1" t="s">
        <v>88</v>
      </c>
    </row>
    <row r="141" spans="2:6" x14ac:dyDescent="0.3">
      <c r="C141" t="s">
        <v>89</v>
      </c>
      <c r="D141">
        <v>103</v>
      </c>
      <c r="E141" s="1">
        <v>110</v>
      </c>
      <c r="F141" s="1">
        <v>115</v>
      </c>
    </row>
    <row r="143" spans="2:6" x14ac:dyDescent="0.3">
      <c r="C143" t="str">
        <f>VLOOKUP(D141,B132:F138,5,FALSE)</f>
        <v>mumbai</v>
      </c>
      <c r="E143" s="1" t="s">
        <v>90</v>
      </c>
    </row>
    <row r="144" spans="2:6" x14ac:dyDescent="0.3">
      <c r="C144" t="str">
        <f>VLOOKUP(D141,B132:C138,2,TRUE)</f>
        <v>priya</v>
      </c>
      <c r="E144" s="1" t="s">
        <v>91</v>
      </c>
    </row>
    <row r="145" spans="2:7" x14ac:dyDescent="0.3">
      <c r="C145" t="str">
        <f>_xlfn.IFNA(VLOOKUP(F141,B132:F138,2,FALSE),"value not found")</f>
        <v>value not found</v>
      </c>
    </row>
    <row r="148" spans="2:7" x14ac:dyDescent="0.3">
      <c r="B148" t="s">
        <v>95</v>
      </c>
    </row>
    <row r="151" spans="2:7" x14ac:dyDescent="0.3">
      <c r="C151" t="s">
        <v>73</v>
      </c>
      <c r="D151" t="s">
        <v>64</v>
      </c>
      <c r="E151" t="s">
        <v>74</v>
      </c>
      <c r="F151" s="1" t="s">
        <v>75</v>
      </c>
      <c r="G151" s="1" t="s">
        <v>28</v>
      </c>
    </row>
    <row r="152" spans="2:7" x14ac:dyDescent="0.3">
      <c r="C152">
        <v>100</v>
      </c>
      <c r="D152" t="s">
        <v>76</v>
      </c>
      <c r="E152" t="s">
        <v>83</v>
      </c>
      <c r="F152" s="1">
        <v>23</v>
      </c>
      <c r="G152" s="1" t="s">
        <v>29</v>
      </c>
    </row>
    <row r="153" spans="2:7" x14ac:dyDescent="0.3">
      <c r="C153">
        <v>101</v>
      </c>
      <c r="D153" t="s">
        <v>77</v>
      </c>
      <c r="E153" t="s">
        <v>83</v>
      </c>
      <c r="F153" s="1">
        <v>32</v>
      </c>
      <c r="G153" s="1" t="s">
        <v>85</v>
      </c>
    </row>
    <row r="154" spans="2:7" x14ac:dyDescent="0.3">
      <c r="C154">
        <v>102</v>
      </c>
      <c r="D154" t="s">
        <v>78</v>
      </c>
      <c r="E154" t="s">
        <v>83</v>
      </c>
      <c r="F154" s="1">
        <v>34</v>
      </c>
      <c r="G154" s="1" t="s">
        <v>29</v>
      </c>
    </row>
    <row r="155" spans="2:7" x14ac:dyDescent="0.3">
      <c r="C155">
        <v>103</v>
      </c>
      <c r="D155" t="s">
        <v>79</v>
      </c>
      <c r="E155" t="s">
        <v>84</v>
      </c>
      <c r="F155" s="1">
        <v>54</v>
      </c>
      <c r="G155" s="1" t="s">
        <v>86</v>
      </c>
    </row>
    <row r="156" spans="2:7" x14ac:dyDescent="0.3">
      <c r="C156">
        <v>104</v>
      </c>
      <c r="D156" t="s">
        <v>80</v>
      </c>
      <c r="E156" t="s">
        <v>84</v>
      </c>
      <c r="F156" s="1">
        <v>23</v>
      </c>
      <c r="G156" s="1" t="s">
        <v>87</v>
      </c>
    </row>
    <row r="157" spans="2:7" x14ac:dyDescent="0.3">
      <c r="C157">
        <v>105</v>
      </c>
      <c r="D157" t="s">
        <v>81</v>
      </c>
      <c r="E157" t="s">
        <v>83</v>
      </c>
      <c r="F157" s="1">
        <v>43</v>
      </c>
      <c r="G157" s="1" t="s">
        <v>68</v>
      </c>
    </row>
    <row r="158" spans="2:7" x14ac:dyDescent="0.3">
      <c r="C158">
        <v>103</v>
      </c>
      <c r="D158" t="s">
        <v>82</v>
      </c>
      <c r="E158" t="s">
        <v>84</v>
      </c>
      <c r="F158" s="1">
        <v>12</v>
      </c>
      <c r="G158" s="1" t="s">
        <v>88</v>
      </c>
    </row>
    <row r="159" spans="2:7" x14ac:dyDescent="0.3">
      <c r="E159"/>
    </row>
    <row r="163" spans="3:7" x14ac:dyDescent="0.3">
      <c r="C163" t="s">
        <v>96</v>
      </c>
      <c r="D163" t="s">
        <v>97</v>
      </c>
      <c r="E163" s="1" t="s">
        <v>29</v>
      </c>
    </row>
    <row r="165" spans="3:7" x14ac:dyDescent="0.3">
      <c r="C165" t="str">
        <f>HLOOKUP(D163,C152:G158,3,FALSE)</f>
        <v xml:space="preserve">rahul </v>
      </c>
    </row>
    <row r="166" spans="3:7" x14ac:dyDescent="0.3">
      <c r="C166" t="str">
        <f>HLOOKUP(E163,C152:G158,5,FALSE)</f>
        <v>pune</v>
      </c>
    </row>
    <row r="170" spans="3:7" x14ac:dyDescent="0.3">
      <c r="C170" t="s">
        <v>98</v>
      </c>
    </row>
    <row r="171" spans="3:7" x14ac:dyDescent="0.3">
      <c r="C171" t="s">
        <v>73</v>
      </c>
      <c r="D171" t="s">
        <v>64</v>
      </c>
      <c r="E171" t="s">
        <v>74</v>
      </c>
      <c r="F171" s="1" t="s">
        <v>75</v>
      </c>
      <c r="G171" s="1" t="s">
        <v>28</v>
      </c>
    </row>
    <row r="172" spans="3:7" x14ac:dyDescent="0.3">
      <c r="C172">
        <v>100</v>
      </c>
      <c r="D172" t="s">
        <v>76</v>
      </c>
      <c r="E172" t="s">
        <v>83</v>
      </c>
      <c r="F172" s="1">
        <v>23</v>
      </c>
      <c r="G172" s="1" t="s">
        <v>29</v>
      </c>
    </row>
    <row r="173" spans="3:7" x14ac:dyDescent="0.3">
      <c r="C173">
        <v>101</v>
      </c>
      <c r="D173" t="s">
        <v>77</v>
      </c>
      <c r="E173" t="s">
        <v>83</v>
      </c>
      <c r="F173" s="1">
        <v>32</v>
      </c>
      <c r="G173" s="1" t="s">
        <v>85</v>
      </c>
    </row>
    <row r="174" spans="3:7" x14ac:dyDescent="0.3">
      <c r="C174">
        <v>102</v>
      </c>
      <c r="D174" t="s">
        <v>78</v>
      </c>
      <c r="E174" t="s">
        <v>83</v>
      </c>
      <c r="F174" s="1">
        <v>34</v>
      </c>
      <c r="G174" s="1" t="s">
        <v>29</v>
      </c>
    </row>
    <row r="175" spans="3:7" x14ac:dyDescent="0.3">
      <c r="C175">
        <v>103</v>
      </c>
      <c r="D175" t="s">
        <v>79</v>
      </c>
      <c r="E175" t="s">
        <v>84</v>
      </c>
      <c r="F175" s="1">
        <v>54</v>
      </c>
      <c r="G175" s="1" t="s">
        <v>86</v>
      </c>
    </row>
    <row r="176" spans="3:7" x14ac:dyDescent="0.3">
      <c r="C176">
        <v>104</v>
      </c>
      <c r="D176" t="s">
        <v>80</v>
      </c>
      <c r="E176" t="s">
        <v>84</v>
      </c>
      <c r="F176" s="1">
        <v>23</v>
      </c>
      <c r="G176" s="1" t="s">
        <v>87</v>
      </c>
    </row>
    <row r="177" spans="3:7" x14ac:dyDescent="0.3">
      <c r="C177">
        <v>105</v>
      </c>
      <c r="D177" t="s">
        <v>81</v>
      </c>
      <c r="E177" t="s">
        <v>83</v>
      </c>
      <c r="F177" s="1">
        <v>43</v>
      </c>
      <c r="G177" s="1" t="s">
        <v>68</v>
      </c>
    </row>
    <row r="178" spans="3:7" x14ac:dyDescent="0.3">
      <c r="C178">
        <v>103</v>
      </c>
      <c r="D178" t="s">
        <v>82</v>
      </c>
      <c r="E178" t="s">
        <v>84</v>
      </c>
      <c r="F178" s="1">
        <v>12</v>
      </c>
      <c r="G178" s="1" t="s">
        <v>88</v>
      </c>
    </row>
    <row r="181" spans="3:7" x14ac:dyDescent="0.3">
      <c r="C181" t="s">
        <v>99</v>
      </c>
      <c r="D181" t="s">
        <v>73</v>
      </c>
      <c r="E181" s="1">
        <v>104</v>
      </c>
    </row>
    <row r="182" spans="3:7" x14ac:dyDescent="0.3">
      <c r="D182" t="s">
        <v>100</v>
      </c>
      <c r="E182" s="1">
        <f>MATCH(E181,C172:C178)</f>
        <v>5</v>
      </c>
    </row>
    <row r="184" spans="3:7" x14ac:dyDescent="0.3">
      <c r="D184" t="s">
        <v>75</v>
      </c>
      <c r="E184" s="1">
        <v>34</v>
      </c>
    </row>
    <row r="185" spans="3:7" x14ac:dyDescent="0.3">
      <c r="D185" t="s">
        <v>101</v>
      </c>
      <c r="E185" s="1">
        <f>MATCH(E184,F172:F178)</f>
        <v>3</v>
      </c>
    </row>
    <row r="188" spans="3:7" x14ac:dyDescent="0.3">
      <c r="C188" t="s">
        <v>102</v>
      </c>
    </row>
    <row r="189" spans="3:7" x14ac:dyDescent="0.3">
      <c r="C189" t="s">
        <v>73</v>
      </c>
      <c r="D189" t="s">
        <v>64</v>
      </c>
      <c r="E189" t="s">
        <v>74</v>
      </c>
      <c r="F189" s="1" t="s">
        <v>75</v>
      </c>
      <c r="G189" s="1" t="s">
        <v>28</v>
      </c>
    </row>
    <row r="190" spans="3:7" x14ac:dyDescent="0.3">
      <c r="C190">
        <v>100</v>
      </c>
      <c r="D190" t="s">
        <v>76</v>
      </c>
      <c r="E190" t="s">
        <v>83</v>
      </c>
      <c r="F190" s="1">
        <v>23</v>
      </c>
      <c r="G190" s="1" t="s">
        <v>29</v>
      </c>
    </row>
    <row r="191" spans="3:7" x14ac:dyDescent="0.3">
      <c r="C191">
        <v>101</v>
      </c>
      <c r="D191" t="s">
        <v>77</v>
      </c>
      <c r="E191" t="s">
        <v>83</v>
      </c>
      <c r="F191" s="1">
        <v>32</v>
      </c>
      <c r="G191" s="1" t="s">
        <v>85</v>
      </c>
    </row>
    <row r="192" spans="3:7" x14ac:dyDescent="0.3">
      <c r="C192">
        <v>102</v>
      </c>
      <c r="D192" t="s">
        <v>78</v>
      </c>
      <c r="E192" t="s">
        <v>83</v>
      </c>
      <c r="F192" s="1">
        <v>34</v>
      </c>
      <c r="G192" s="1" t="s">
        <v>29</v>
      </c>
    </row>
    <row r="193" spans="3:7" x14ac:dyDescent="0.3">
      <c r="C193">
        <v>103</v>
      </c>
      <c r="D193" t="s">
        <v>79</v>
      </c>
      <c r="E193" t="s">
        <v>84</v>
      </c>
      <c r="F193" s="1">
        <v>54</v>
      </c>
      <c r="G193" s="1" t="s">
        <v>86</v>
      </c>
    </row>
    <row r="194" spans="3:7" x14ac:dyDescent="0.3">
      <c r="C194">
        <v>104</v>
      </c>
      <c r="D194" t="s">
        <v>80</v>
      </c>
      <c r="E194" t="s">
        <v>84</v>
      </c>
      <c r="F194" s="1">
        <v>23</v>
      </c>
      <c r="G194" s="1" t="s">
        <v>87</v>
      </c>
    </row>
    <row r="195" spans="3:7" x14ac:dyDescent="0.3">
      <c r="C195">
        <v>105</v>
      </c>
      <c r="D195" t="s">
        <v>81</v>
      </c>
      <c r="E195" t="s">
        <v>83</v>
      </c>
      <c r="F195" s="1">
        <v>43</v>
      </c>
      <c r="G195" s="1" t="s">
        <v>68</v>
      </c>
    </row>
    <row r="196" spans="3:7" x14ac:dyDescent="0.3">
      <c r="C196">
        <v>103</v>
      </c>
      <c r="D196" t="s">
        <v>82</v>
      </c>
      <c r="E196" t="s">
        <v>84</v>
      </c>
      <c r="F196" s="1">
        <v>12</v>
      </c>
      <c r="G196" s="1" t="s">
        <v>88</v>
      </c>
    </row>
    <row r="199" spans="3:7" x14ac:dyDescent="0.3">
      <c r="C199" t="s">
        <v>103</v>
      </c>
      <c r="D199">
        <v>4</v>
      </c>
    </row>
    <row r="200" spans="3:7" x14ac:dyDescent="0.3">
      <c r="D200" cm="1">
        <f t="array" ref="D200">INDEX(C190:C196,D199)</f>
        <v>103</v>
      </c>
    </row>
    <row r="203" spans="3:7" x14ac:dyDescent="0.3">
      <c r="C203" t="s">
        <v>104</v>
      </c>
      <c r="E203" s="1">
        <f>INDEX(C190:C196,MATCH(104,F190:F196))</f>
        <v>103</v>
      </c>
    </row>
    <row r="207" spans="3:7" x14ac:dyDescent="0.3">
      <c r="C207" t="s">
        <v>105</v>
      </c>
    </row>
    <row r="209" spans="3:4" x14ac:dyDescent="0.3">
      <c r="D209" cm="1">
        <f t="array" aca="1" ref="D209:D210" ca="1">OFFSET(C190,3,3,2,1)</f>
        <v>54</v>
      </c>
    </row>
    <row r="210" spans="3:4" x14ac:dyDescent="0.3">
      <c r="D210">
        <f ca="1"/>
        <v>23</v>
      </c>
    </row>
    <row r="212" spans="3:4" x14ac:dyDescent="0.3">
      <c r="D212">
        <f ca="1">OFFSET(C190,4,3,1,1)</f>
        <v>23</v>
      </c>
    </row>
    <row r="214" spans="3:4" x14ac:dyDescent="0.3">
      <c r="D214">
        <f ca="1">SUM(OFFSET(C190,2,3,2,1))</f>
        <v>88</v>
      </c>
    </row>
    <row r="219" spans="3:4" x14ac:dyDescent="0.3">
      <c r="C219" t="s">
        <v>106</v>
      </c>
      <c r="D219" t="s">
        <v>29</v>
      </c>
    </row>
  </sheetData>
  <autoFilter ref="A5:P5" xr:uid="{00000000-0001-0000-0000-000000000000}"/>
  <sortState xmlns:xlrd2="http://schemas.microsoft.com/office/spreadsheetml/2017/richdata2" ref="A5:P9">
    <sortCondition sortBy="fontColor" ref="K5:K9" dxfId="14"/>
    <sortCondition sortBy="cellColor" ref="K5:K9" dxfId="13"/>
    <sortCondition sortBy="cellColor" ref="G5:G9" dxfId="12"/>
  </sortState>
  <mergeCells count="5">
    <mergeCell ref="E4:F4"/>
    <mergeCell ref="G4:H4"/>
    <mergeCell ref="I4:J4"/>
    <mergeCell ref="K4:L4"/>
    <mergeCell ref="M4:N4"/>
  </mergeCells>
  <phoneticPr fontId="4" type="noConversion"/>
  <conditionalFormatting sqref="B111:B124">
    <cfRule type="cellIs" dxfId="11" priority="1" operator="greaterThan">
      <formula>40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6"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2E3E2B-4BD7-45CD-B9E8-5B1E45019465}">
          <x14:formula1>
            <xm:f>Sheet1!$D$6:$D$9</xm:f>
          </x14:formula1>
          <xm:sqref>D219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51C6-4687-461B-BF5D-11AB1B824ABD}">
  <dimension ref="D6:D9"/>
  <sheetViews>
    <sheetView workbookViewId="0">
      <selection activeCell="H7" sqref="H7"/>
    </sheetView>
  </sheetViews>
  <sheetFormatPr defaultRowHeight="14.4" x14ac:dyDescent="0.3"/>
  <sheetData>
    <row r="6" spans="4:4" x14ac:dyDescent="0.3">
      <c r="D6" t="s">
        <v>68</v>
      </c>
    </row>
    <row r="7" spans="4:4" x14ac:dyDescent="0.3">
      <c r="D7" t="s">
        <v>85</v>
      </c>
    </row>
    <row r="8" spans="4:4" x14ac:dyDescent="0.3">
      <c r="D8" t="s">
        <v>29</v>
      </c>
    </row>
    <row r="9" spans="4:4" x14ac:dyDescent="0.3">
      <c r="D9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Scores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pawan kumar</cp:lastModifiedBy>
  <dcterms:created xsi:type="dcterms:W3CDTF">2020-04-26T13:08:01Z</dcterms:created>
  <dcterms:modified xsi:type="dcterms:W3CDTF">2023-01-03T17:26:36Z</dcterms:modified>
</cp:coreProperties>
</file>